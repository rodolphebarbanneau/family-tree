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c3ffac84055bd01/Documents/GitHub/rodolphebarbanneau/family-tree/src/data/"/>
    </mc:Choice>
  </mc:AlternateContent>
  <xr:revisionPtr revIDLastSave="85" documentId="13_ncr:1_{26313AE7-D083-CA4E-8FD3-49E5DE852028}" xr6:coauthVersionLast="47" xr6:coauthVersionMax="47" xr10:uidLastSave="{A47A37A7-C243-44F3-B3BD-126B576FB5A7}"/>
  <bookViews>
    <workbookView xWindow="1152" yWindow="1152" windowWidth="23040" windowHeight="12204" xr2:uid="{C08B52E8-2402-4BDF-8925-6F57476B006E}"/>
  </bookViews>
  <sheets>
    <sheet name="data" sheetId="1" r:id="rId1"/>
  </sheets>
  <functionGroups builtInGroupCount="19"/>
  <definedNames>
    <definedName name="data_id">data[id]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K4" i="1" s="1"/>
  <c r="A5" i="1"/>
  <c r="K5" i="1" s="1"/>
  <c r="A6" i="1"/>
  <c r="K6" i="1" s="1"/>
  <c r="A7" i="1"/>
  <c r="K7" i="1" s="1"/>
  <c r="A8" i="1"/>
  <c r="K8" i="1" s="1"/>
  <c r="A9" i="1"/>
  <c r="K9" i="1" s="1"/>
  <c r="A10" i="1"/>
  <c r="K10" i="1" s="1"/>
  <c r="A11" i="1"/>
  <c r="K11" i="1" s="1"/>
  <c r="A12" i="1"/>
  <c r="K12" i="1" s="1"/>
  <c r="A13" i="1"/>
  <c r="K13" i="1" s="1"/>
  <c r="A14" i="1"/>
  <c r="K14" i="1" s="1"/>
  <c r="A15" i="1"/>
  <c r="K15" i="1" s="1"/>
  <c r="A16" i="1"/>
  <c r="K16" i="1" s="1"/>
  <c r="A17" i="1"/>
  <c r="K17" i="1" s="1"/>
  <c r="A18" i="1"/>
  <c r="K18" i="1" s="1"/>
  <c r="A19" i="1"/>
  <c r="K19" i="1" s="1"/>
  <c r="A20" i="1"/>
  <c r="K20" i="1" s="1"/>
  <c r="A21" i="1"/>
  <c r="K21" i="1" s="1"/>
  <c r="A3" i="1"/>
  <c r="K3" i="1" s="1"/>
</calcChain>
</file>

<file path=xl/sharedStrings.xml><?xml version="1.0" encoding="utf-8"?>
<sst xmlns="http://schemas.openxmlformats.org/spreadsheetml/2006/main" count="122" uniqueCount="57">
  <si>
    <t>id</t>
  </si>
  <si>
    <t>birth</t>
  </si>
  <si>
    <t>death</t>
  </si>
  <si>
    <t>Agathe</t>
  </si>
  <si>
    <t>Valentin</t>
  </si>
  <si>
    <t>Michel</t>
  </si>
  <si>
    <t>Barbaneau</t>
  </si>
  <si>
    <t>François</t>
  </si>
  <si>
    <t>Baussay</t>
  </si>
  <si>
    <t>Catherine</t>
  </si>
  <si>
    <t>Lefer</t>
  </si>
  <si>
    <t>first_name</t>
  </si>
  <si>
    <t>last_name</t>
  </si>
  <si>
    <t>Jehan</t>
  </si>
  <si>
    <t>Gilles</t>
  </si>
  <si>
    <t>Guillaume</t>
  </si>
  <si>
    <t>Louise</t>
  </si>
  <si>
    <t>Maujais</t>
  </si>
  <si>
    <t>Pierre</t>
  </si>
  <si>
    <t>Simonnet</t>
  </si>
  <si>
    <t>Marie</t>
  </si>
  <si>
    <t>Maugeais</t>
  </si>
  <si>
    <t>Maugeay</t>
  </si>
  <si>
    <t>Jehanne</t>
  </si>
  <si>
    <t>Ollivier</t>
  </si>
  <si>
    <t>Anne</t>
  </si>
  <si>
    <t>Prieur</t>
  </si>
  <si>
    <t>Cuit</t>
  </si>
  <si>
    <t>wedding</t>
  </si>
  <si>
    <t>01-01</t>
  </si>
  <si>
    <t>01-02</t>
  </si>
  <si>
    <t>01-03</t>
  </si>
  <si>
    <t>01-04</t>
  </si>
  <si>
    <t>01-05</t>
  </si>
  <si>
    <t>02-01</t>
  </si>
  <si>
    <t>02-02</t>
  </si>
  <si>
    <t>02-03</t>
  </si>
  <si>
    <t>02-04</t>
  </si>
  <si>
    <t>02-05</t>
  </si>
  <si>
    <t>02-06</t>
  </si>
  <si>
    <t>02-07</t>
  </si>
  <si>
    <t>02-08</t>
  </si>
  <si>
    <t>02-09</t>
  </si>
  <si>
    <t>02-10</t>
  </si>
  <si>
    <t>02-11</t>
  </si>
  <si>
    <t>02-12</t>
  </si>
  <si>
    <t>02-13</t>
  </si>
  <si>
    <t>02-14</t>
  </si>
  <si>
    <t>check</t>
  </si>
  <si>
    <t>relationship</t>
  </si>
  <si>
    <t>sex</t>
  </si>
  <si>
    <t>male</t>
  </si>
  <si>
    <t>female</t>
  </si>
  <si>
    <t>false</t>
  </si>
  <si>
    <t>true</t>
  </si>
  <si>
    <t>parent_id</t>
  </si>
  <si>
    <t>lineage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</si>
</sst>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left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13">
    <dxf>
      <font>
        <i/>
      </font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  <i val="0"/>
      </font>
      <numFmt numFmtId="30" formatCode="@"/>
      <alignment horizontal="left" vertical="bottom" textRotation="0" wrapText="0" indent="0" justifyLastLine="0" shrinkToFit="0" readingOrder="0"/>
    </dxf>
    <dxf>
      <font>
        <i/>
      </font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0</xdr:colOff>
      <xdr:row>1</xdr:row>
      <xdr:rowOff>0</xdr:rowOff>
    </xdr:to>
    <xdr:sp macro="[0]!ExportData" textlink="">
      <xdr:nvSpPr>
        <xdr:cNvPr id="2" name="Rectangle 1">
          <a:extLst>
            <a:ext uri="{FF2B5EF4-FFF2-40B4-BE49-F238E27FC236}">
              <a16:creationId xmlns:a16="http://schemas.microsoft.com/office/drawing/2014/main" id="{F6D460FF-B294-24AB-03DF-CA7470A21AD9}"/>
            </a:ext>
          </a:extLst>
        </xdr:cNvPr>
        <xdr:cNvSpPr/>
      </xdr:nvSpPr>
      <xdr:spPr>
        <a:xfrm>
          <a:off x="0" y="0"/>
          <a:ext cx="6918960" cy="38100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EXPORT DATA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2CD4EE-76CC-4D31-805E-8531B5AD1F97}" name="data" displayName="data" ref="A2:K21" totalsRowShown="0" headerRowDxfId="12" dataDxfId="11">
  <autoFilter ref="A2:K21" xr:uid="{112CD4EE-76CC-4D31-805E-8531B5AD1F97}"/>
  <tableColumns count="11">
    <tableColumn id="10" xr3:uid="{DC2718D8-8F5D-0A43-BD5B-9D9E57EFDB2F}" name="check" dataDxfId="10">
      <calculatedColumnFormula>IFERROR(PRODUCT(COUNTIF(data[id],data[[#This Row],[id]]),IF(ISBLANK(data[[#This Row],[parent_id]]),IF(data[[#This Row],[lineage]]="true",1,0),IF(INDEX(data[lineage],MATCH(data[[#This Row],[parent_id]],data[id],0))=data[[#This Row],[lineage]],0,1))),0)</calculatedColumnFormula>
    </tableColumn>
    <tableColumn id="1" xr3:uid="{7629EAFD-E2D5-42B6-832D-A25A217C5C3B}" name="id" dataDxfId="9"/>
    <tableColumn id="4" xr3:uid="{3F9C294D-5AB9-A745-9EC0-000816C81C69}" name="lineage" dataDxfId="8"/>
    <tableColumn id="5" xr3:uid="{2F96F9B2-D788-470C-96F6-9A6FCB7A9B86}" name="first_name" dataDxfId="7"/>
    <tableColumn id="6" xr3:uid="{27543E66-727A-4F8A-A371-A64F16D1975E}" name="last_name" dataDxfId="6"/>
    <tableColumn id="3" xr3:uid="{C80711CE-49DF-4E96-956D-A9438B8195FF}" name="sex" dataDxfId="5"/>
    <tableColumn id="7" xr3:uid="{89438514-5F8C-4D7C-BB80-7080A7609ED7}" name="birth" dataDxfId="4"/>
    <tableColumn id="8" xr3:uid="{EBEA3466-9AC0-4DAA-A97F-43F195A9FA9F}" name="death" dataDxfId="3"/>
    <tableColumn id="9" xr3:uid="{241812BA-F8D2-4DC1-B2C7-01D91DEB7C2D}" name="wedding" dataDxfId="2"/>
    <tableColumn id="2" xr3:uid="{7326BAD4-E53C-476C-8E53-2D16B52C9C2A}" name="parent_id" dataDxfId="1"/>
    <tableColumn id="11" xr3:uid="{78359FB1-3F11-DA4C-8799-A23F5803B98D}" name="relationship" dataDxfId="0">
      <calculatedColumnFormula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89FF1-ABC1-4FF0-9398-106F2EDF3F83}">
  <sheetPr codeName="data"/>
  <dimension ref="A1:L21"/>
  <sheetViews>
    <sheetView tabSelected="1" zoomScaleNormal="100" workbookViewId="0"/>
  </sheetViews>
  <sheetFormatPr defaultColWidth="8.77734375" defaultRowHeight="14.4" x14ac:dyDescent="0.3"/>
  <cols>
    <col min="1" max="1" width="8.109375" style="1" bestFit="1" customWidth="1"/>
    <col min="2" max="2" width="5.6640625" bestFit="1" customWidth="1"/>
    <col min="3" max="3" width="9.21875" bestFit="1" customWidth="1"/>
    <col min="4" max="4" width="12.21875" style="1" bestFit="1" customWidth="1"/>
    <col min="5" max="5" width="11.88671875" bestFit="1" customWidth="1"/>
    <col min="6" max="6" width="6.6640625" bestFit="1" customWidth="1"/>
    <col min="7" max="7" width="7.21875" style="1" bestFit="1" customWidth="1"/>
    <col min="8" max="8" width="8.109375" style="1" bestFit="1" customWidth="1"/>
    <col min="9" max="9" width="10.44140625" bestFit="1" customWidth="1"/>
    <col min="10" max="10" width="11.33203125" style="1" bestFit="1" customWidth="1"/>
    <col min="11" max="11" width="39.6640625" bestFit="1" customWidth="1"/>
    <col min="13" max="16384" width="8.77734375" style="1"/>
  </cols>
  <sheetData>
    <row r="1" spans="1:12" ht="30" customHeight="1" x14ac:dyDescent="0.3">
      <c r="I1" s="1"/>
      <c r="K1" s="1"/>
      <c r="L1" s="1"/>
    </row>
    <row r="2" spans="1:12" x14ac:dyDescent="0.3">
      <c r="A2" s="1" t="s">
        <v>48</v>
      </c>
      <c r="B2" s="1" t="s">
        <v>0</v>
      </c>
      <c r="C2" s="1" t="s">
        <v>56</v>
      </c>
      <c r="D2" s="1" t="s">
        <v>11</v>
      </c>
      <c r="E2" s="1" t="s">
        <v>12</v>
      </c>
      <c r="F2" s="1" t="s">
        <v>50</v>
      </c>
      <c r="G2" s="1" t="s">
        <v>1</v>
      </c>
      <c r="H2" s="1" t="s">
        <v>2</v>
      </c>
      <c r="I2" s="1" t="s">
        <v>28</v>
      </c>
      <c r="J2" s="1" t="s">
        <v>55</v>
      </c>
      <c r="K2" s="1" t="s">
        <v>49</v>
      </c>
      <c r="L2" s="1"/>
    </row>
    <row r="3" spans="1:12" x14ac:dyDescent="0.3">
      <c r="A3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3" s="3" t="s">
        <v>29</v>
      </c>
      <c r="C3" s="2" t="s">
        <v>53</v>
      </c>
      <c r="D3" s="3" t="s">
        <v>7</v>
      </c>
      <c r="E3" s="3" t="s">
        <v>8</v>
      </c>
      <c r="F3" s="2" t="s">
        <v>51</v>
      </c>
      <c r="G3" s="4"/>
      <c r="H3" s="4"/>
      <c r="I3" s="4"/>
      <c r="J3" s="2" t="s">
        <v>30</v>
      </c>
      <c r="K3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François BAUSSAY -&gt; Agathe BARBANEAU</v>
      </c>
      <c r="L3" s="1"/>
    </row>
    <row r="4" spans="1:12" x14ac:dyDescent="0.3">
      <c r="A4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4" s="3" t="s">
        <v>30</v>
      </c>
      <c r="C4" s="2" t="s">
        <v>54</v>
      </c>
      <c r="D4" s="3" t="s">
        <v>3</v>
      </c>
      <c r="E4" s="3" t="s">
        <v>6</v>
      </c>
      <c r="F4" s="2" t="s">
        <v>52</v>
      </c>
      <c r="G4" s="4"/>
      <c r="H4" s="4"/>
      <c r="I4" s="4"/>
      <c r="J4" s="2"/>
      <c r="K4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Agathe BARBANEAU -&gt; undefined</v>
      </c>
      <c r="L4" s="1"/>
    </row>
    <row r="5" spans="1:12" x14ac:dyDescent="0.3">
      <c r="A5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5" s="3" t="s">
        <v>31</v>
      </c>
      <c r="C5" s="2" t="s">
        <v>54</v>
      </c>
      <c r="D5" s="3" t="s">
        <v>4</v>
      </c>
      <c r="E5" s="3" t="s">
        <v>6</v>
      </c>
      <c r="F5" s="2" t="s">
        <v>51</v>
      </c>
      <c r="G5" s="4"/>
      <c r="H5" s="4"/>
      <c r="I5" s="4"/>
      <c r="J5" s="2"/>
      <c r="K5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Valentin BARBANEAU -&gt; undefined</v>
      </c>
      <c r="L5" s="1"/>
    </row>
    <row r="6" spans="1:12" x14ac:dyDescent="0.3">
      <c r="A6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6" s="3" t="s">
        <v>32</v>
      </c>
      <c r="C6" s="2" t="s">
        <v>53</v>
      </c>
      <c r="D6" s="3" t="s">
        <v>9</v>
      </c>
      <c r="E6" s="3" t="s">
        <v>10</v>
      </c>
      <c r="F6" s="2" t="s">
        <v>52</v>
      </c>
      <c r="G6" s="4"/>
      <c r="H6" s="4"/>
      <c r="I6" s="4"/>
      <c r="J6" s="2" t="s">
        <v>31</v>
      </c>
      <c r="K6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Catherine LEFER -&gt; Valentin BARBANEAU</v>
      </c>
      <c r="L6" s="1"/>
    </row>
    <row r="7" spans="1:12" x14ac:dyDescent="0.3">
      <c r="A7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7" s="3" t="s">
        <v>33</v>
      </c>
      <c r="C7" s="2" t="s">
        <v>54</v>
      </c>
      <c r="D7" s="3" t="s">
        <v>5</v>
      </c>
      <c r="E7" s="3" t="s">
        <v>6</v>
      </c>
      <c r="F7" s="2" t="s">
        <v>51</v>
      </c>
      <c r="G7" s="4"/>
      <c r="H7" s="4"/>
      <c r="I7" s="4"/>
      <c r="J7" s="2"/>
      <c r="K7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Michel BARBANEAU -&gt; undefined</v>
      </c>
      <c r="L7" s="1"/>
    </row>
    <row r="8" spans="1:12" x14ac:dyDescent="0.3">
      <c r="A8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8" s="3" t="s">
        <v>34</v>
      </c>
      <c r="C8" s="2" t="s">
        <v>54</v>
      </c>
      <c r="D8" s="3" t="s">
        <v>13</v>
      </c>
      <c r="E8" s="3" t="s">
        <v>6</v>
      </c>
      <c r="F8" s="2" t="s">
        <v>51</v>
      </c>
      <c r="G8" s="4"/>
      <c r="H8" s="4"/>
      <c r="I8" s="4"/>
      <c r="J8" s="2" t="s">
        <v>32</v>
      </c>
      <c r="K8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Jehan BARBANEAU -&gt; Catherine LEFER</v>
      </c>
      <c r="L8" s="1"/>
    </row>
    <row r="9" spans="1:12" x14ac:dyDescent="0.3">
      <c r="A9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9" s="3" t="s">
        <v>35</v>
      </c>
      <c r="C9" s="2" t="s">
        <v>53</v>
      </c>
      <c r="D9" s="3" t="s">
        <v>16</v>
      </c>
      <c r="E9" s="3" t="s">
        <v>17</v>
      </c>
      <c r="F9" s="2" t="s">
        <v>52</v>
      </c>
      <c r="G9" s="4"/>
      <c r="H9" s="4"/>
      <c r="I9" s="4"/>
      <c r="J9" s="2" t="s">
        <v>34</v>
      </c>
      <c r="K9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Louise MAUJAIS -&gt; Jehan BARBANEAU</v>
      </c>
      <c r="L9" s="1"/>
    </row>
    <row r="10" spans="1:12" x14ac:dyDescent="0.3">
      <c r="A10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0" s="3" t="s">
        <v>36</v>
      </c>
      <c r="C10" s="2" t="s">
        <v>53</v>
      </c>
      <c r="D10" s="3" t="s">
        <v>18</v>
      </c>
      <c r="E10" s="3" t="s">
        <v>19</v>
      </c>
      <c r="F10" s="2" t="s">
        <v>51</v>
      </c>
      <c r="G10" s="4"/>
      <c r="H10" s="4"/>
      <c r="I10" s="4">
        <v>1596</v>
      </c>
      <c r="J10" s="2" t="s">
        <v>37</v>
      </c>
      <c r="K10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Pierre SIMONNET -&gt; Agathe BARBANEAU</v>
      </c>
      <c r="L10" s="1"/>
    </row>
    <row r="11" spans="1:12" x14ac:dyDescent="0.3">
      <c r="A11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1" s="3" t="s">
        <v>37</v>
      </c>
      <c r="C11" s="2" t="s">
        <v>54</v>
      </c>
      <c r="D11" s="3" t="s">
        <v>3</v>
      </c>
      <c r="E11" s="3" t="s">
        <v>6</v>
      </c>
      <c r="F11" s="2" t="s">
        <v>52</v>
      </c>
      <c r="G11" s="4"/>
      <c r="H11" s="4"/>
      <c r="I11" s="4"/>
      <c r="J11" s="2" t="s">
        <v>32</v>
      </c>
      <c r="K11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Agathe BARBANEAU -&gt; Catherine LEFER</v>
      </c>
      <c r="L11" s="1"/>
    </row>
    <row r="12" spans="1:12" x14ac:dyDescent="0.3">
      <c r="A12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2" s="3" t="s">
        <v>38</v>
      </c>
      <c r="C12" s="2" t="s">
        <v>54</v>
      </c>
      <c r="D12" s="3" t="s">
        <v>5</v>
      </c>
      <c r="E12" s="3" t="s">
        <v>6</v>
      </c>
      <c r="F12" s="2" t="s">
        <v>51</v>
      </c>
      <c r="G12" s="4"/>
      <c r="H12" s="4"/>
      <c r="I12" s="4"/>
      <c r="J12" s="2" t="s">
        <v>32</v>
      </c>
      <c r="K12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Michel BARBANEAU -&gt; Catherine LEFER</v>
      </c>
      <c r="L12" s="1"/>
    </row>
    <row r="13" spans="1:12" x14ac:dyDescent="0.3">
      <c r="A13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3" s="3" t="s">
        <v>39</v>
      </c>
      <c r="C13" s="2" t="s">
        <v>53</v>
      </c>
      <c r="D13" s="3" t="s">
        <v>20</v>
      </c>
      <c r="E13" s="3" t="s">
        <v>21</v>
      </c>
      <c r="F13" s="2" t="s">
        <v>52</v>
      </c>
      <c r="G13" s="4"/>
      <c r="H13" s="4"/>
      <c r="I13" s="4"/>
      <c r="J13" s="2" t="s">
        <v>38</v>
      </c>
      <c r="K13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Marie MAUGEAIS -&gt; Michel BARBANEAU</v>
      </c>
      <c r="L13" s="1"/>
    </row>
    <row r="14" spans="1:12" x14ac:dyDescent="0.3">
      <c r="A14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4" s="3" t="s">
        <v>40</v>
      </c>
      <c r="C14" s="2" t="s">
        <v>54</v>
      </c>
      <c r="D14" s="3" t="s">
        <v>14</v>
      </c>
      <c r="E14" s="3" t="s">
        <v>6</v>
      </c>
      <c r="F14" s="2" t="s">
        <v>51</v>
      </c>
      <c r="G14" s="4"/>
      <c r="H14" s="4"/>
      <c r="I14" s="4"/>
      <c r="J14" s="2" t="s">
        <v>32</v>
      </c>
      <c r="K14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Gilles BARBANEAU -&gt; Catherine LEFER</v>
      </c>
      <c r="L14" s="1"/>
    </row>
    <row r="15" spans="1:12" x14ac:dyDescent="0.3">
      <c r="A15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5" s="3" t="s">
        <v>41</v>
      </c>
      <c r="C15" s="2" t="s">
        <v>53</v>
      </c>
      <c r="D15" s="3" t="s">
        <v>9</v>
      </c>
      <c r="E15" s="3" t="s">
        <v>22</v>
      </c>
      <c r="F15" s="2" t="s">
        <v>52</v>
      </c>
      <c r="G15" s="4"/>
      <c r="H15" s="4"/>
      <c r="I15" s="4"/>
      <c r="J15" s="2" t="s">
        <v>40</v>
      </c>
      <c r="K15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Catherine MAUGEAY -&gt; Gilles BARBANEAU</v>
      </c>
      <c r="L15" s="1"/>
    </row>
    <row r="16" spans="1:12" x14ac:dyDescent="0.3">
      <c r="A16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6" s="3" t="s">
        <v>42</v>
      </c>
      <c r="C16" s="2" t="s">
        <v>54</v>
      </c>
      <c r="D16" s="3" t="s">
        <v>15</v>
      </c>
      <c r="E16" s="3" t="s">
        <v>6</v>
      </c>
      <c r="F16" s="2" t="s">
        <v>51</v>
      </c>
      <c r="G16" s="4"/>
      <c r="H16" s="4"/>
      <c r="I16" s="4"/>
      <c r="J16" s="2" t="s">
        <v>32</v>
      </c>
      <c r="K16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Guillaume BARBANEAU -&gt; Catherine LEFER</v>
      </c>
      <c r="L16" s="1"/>
    </row>
    <row r="17" spans="1:12" x14ac:dyDescent="0.3">
      <c r="A17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7" s="3" t="s">
        <v>43</v>
      </c>
      <c r="C17" s="2" t="s">
        <v>53</v>
      </c>
      <c r="D17" s="3" t="s">
        <v>23</v>
      </c>
      <c r="E17" s="3" t="s">
        <v>27</v>
      </c>
      <c r="F17" s="2" t="s">
        <v>52</v>
      </c>
      <c r="G17" s="4"/>
      <c r="H17" s="4"/>
      <c r="I17" s="4"/>
      <c r="J17" s="2" t="s">
        <v>42</v>
      </c>
      <c r="K17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Jehanne CUIT -&gt; Guillaume BARBANEAU</v>
      </c>
      <c r="L17" s="1"/>
    </row>
    <row r="18" spans="1:12" x14ac:dyDescent="0.3">
      <c r="A18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8" s="3" t="s">
        <v>44</v>
      </c>
      <c r="C18" s="2" t="s">
        <v>54</v>
      </c>
      <c r="D18" s="3" t="s">
        <v>7</v>
      </c>
      <c r="E18" s="3" t="s">
        <v>6</v>
      </c>
      <c r="F18" s="2" t="s">
        <v>51</v>
      </c>
      <c r="G18" s="4"/>
      <c r="H18" s="4">
        <v>1659</v>
      </c>
      <c r="I18" s="4"/>
      <c r="J18" s="2" t="s">
        <v>32</v>
      </c>
      <c r="K18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François BARBANEAU -&gt; Catherine LEFER</v>
      </c>
      <c r="L18" s="1"/>
    </row>
    <row r="19" spans="1:12" x14ac:dyDescent="0.3">
      <c r="A19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19" s="3" t="s">
        <v>45</v>
      </c>
      <c r="C19" s="2" t="s">
        <v>53</v>
      </c>
      <c r="D19" s="3" t="s">
        <v>20</v>
      </c>
      <c r="E19" s="3" t="s">
        <v>24</v>
      </c>
      <c r="F19" s="2" t="s">
        <v>52</v>
      </c>
      <c r="G19" s="4"/>
      <c r="H19" s="4">
        <v>1668</v>
      </c>
      <c r="I19" s="4"/>
      <c r="J19" s="2" t="s">
        <v>44</v>
      </c>
      <c r="K19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Marie OLLIVIER -&gt; François BARBANEAU</v>
      </c>
      <c r="L19" s="1"/>
    </row>
    <row r="20" spans="1:12" x14ac:dyDescent="0.3">
      <c r="A20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20" s="3" t="s">
        <v>46</v>
      </c>
      <c r="C20" s="2" t="s">
        <v>54</v>
      </c>
      <c r="D20" s="3" t="s">
        <v>13</v>
      </c>
      <c r="E20" s="3" t="s">
        <v>6</v>
      </c>
      <c r="F20" s="2" t="s">
        <v>51</v>
      </c>
      <c r="G20" s="4"/>
      <c r="H20" s="4"/>
      <c r="I20" s="4"/>
      <c r="J20" s="2" t="s">
        <v>32</v>
      </c>
      <c r="K20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[x] Jehan BARBANEAU -&gt; Catherine LEFER</v>
      </c>
      <c r="L20" s="1"/>
    </row>
    <row r="21" spans="1:12" x14ac:dyDescent="0.3">
      <c r="A21" s="5">
        <f>IFERROR(PRODUCT(COUNTIF(data[id],data[[#This Row],[id]]),IF(ISBLANK(data[[#This Row],[parent_id]]),IF(data[[#This Row],[lineage]]="true",1,0),IF(INDEX(data[lineage],MATCH(data[[#This Row],[parent_id]],data[id],0))=data[[#This Row],[lineage]],0,1))),0)</f>
        <v>1</v>
      </c>
      <c r="B21" s="3" t="s">
        <v>47</v>
      </c>
      <c r="C21" s="2" t="s">
        <v>53</v>
      </c>
      <c r="D21" s="3" t="s">
        <v>25</v>
      </c>
      <c r="E21" s="3" t="s">
        <v>26</v>
      </c>
      <c r="F21" s="2" t="s">
        <v>52</v>
      </c>
      <c r="G21" s="4"/>
      <c r="H21" s="4"/>
      <c r="I21" s="4"/>
      <c r="J21" s="2" t="s">
        <v>46</v>
      </c>
      <c r="K21" s="5" t="str">
        <f>IF(data[[#This Row],[check]]&gt;0,IF(data[[#This Row],[lineage]]="true","[x] ","")&amp;data[[#This Row],[first_name]]&amp;" "&amp;UPPER(data[[#This Row],[last_name]])&amp;" -&gt; "&amp;IFERROR(INDEX(data[first_name],MATCH(data[[#This Row],[parent_id]],data[id],0))&amp;" "&amp;UPPER(INDEX(data[last_name],MATCH(data[[#This Row],[parent_id]],data[id],0))),"undefined"),"")</f>
        <v>Anne PRIEUR -&gt; Jehan BARBANEAU</v>
      </c>
      <c r="L21" s="1"/>
    </row>
  </sheetData>
  <phoneticPr fontId="2" type="noConversion"/>
  <conditionalFormatting sqref="A3:A21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J3:J21" xr:uid="{C8B82016-5FEF-0143-8CFD-AE7E2D9D44CE}">
      <formula1>data_id</formula1>
    </dataValidation>
    <dataValidation type="list" allowBlank="1" showInputMessage="1" showErrorMessage="1" sqref="C3:C21" xr:uid="{E6AFAF57-5FC8-BA43-A09C-A810513F92DA}">
      <formula1>"true,false"</formula1>
    </dataValidation>
    <dataValidation type="list" allowBlank="1" showInputMessage="1" showErrorMessage="1" sqref="F3:F21" xr:uid="{225E2EA9-EDCE-49FE-B39D-2598F3592E7B}">
      <formula1>"male,female"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</vt:lpstr>
      <vt:lpstr>data_id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Rodolphe Barbanneau</dc:creator>
  <cp:lastModifiedBy>Rodolphe Barbanneau</cp:lastModifiedBy>
  <dcterms:created xsi:type="dcterms:W3CDTF">2022-12-16T12:29:08Z</dcterms:created>
  <dcterms:modified xsi:type="dcterms:W3CDTF">2022-12-26T16:57:13Z</dcterms:modified>
</cp:coreProperties>
</file>